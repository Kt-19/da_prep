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cuments\data analytic\excel\"/>
    </mc:Choice>
  </mc:AlternateContent>
  <xr:revisionPtr revIDLastSave="0" documentId="13_ncr:1_{89879F20-5ED2-4C18-AA86-EB9642EC79F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Meet-up status" sheetId="2" r:id="rId1"/>
    <sheet name="Data" sheetId="3" r:id="rId2"/>
  </sheets>
  <definedNames>
    <definedName name="_xlnm._FilterDatabase" localSheetId="0" hidden="1">'Meet-up status'!$A$1:$H$25</definedName>
    <definedName name="_xleta.NOW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13" i="2"/>
  <c r="H17" i="2"/>
  <c r="H18" i="2"/>
  <c r="H19" i="2"/>
  <c r="H20" i="2"/>
  <c r="H22" i="2"/>
  <c r="H5" i="2"/>
  <c r="H15" i="2"/>
  <c r="H23" i="2"/>
  <c r="H11" i="2"/>
  <c r="H12" i="2"/>
  <c r="H14" i="2"/>
  <c r="H16" i="2"/>
  <c r="H24" i="2"/>
  <c r="H6" i="2" l="1"/>
  <c r="H2" i="2"/>
  <c r="H21" i="2"/>
  <c r="H25" i="2"/>
  <c r="H4" i="2"/>
  <c r="H7" i="2"/>
  <c r="H8" i="2"/>
  <c r="H9" i="2"/>
  <c r="H10" i="2"/>
</calcChain>
</file>

<file path=xl/sharedStrings.xml><?xml version="1.0" encoding="utf-8"?>
<sst xmlns="http://schemas.openxmlformats.org/spreadsheetml/2006/main" count="158" uniqueCount="82">
  <si>
    <t>Partners</t>
  </si>
  <si>
    <t>Countries</t>
  </si>
  <si>
    <t>MY</t>
  </si>
  <si>
    <t>Focus Area</t>
  </si>
  <si>
    <t>Priority</t>
  </si>
  <si>
    <t>Status</t>
  </si>
  <si>
    <t>Contact Person</t>
  </si>
  <si>
    <t>Last Met Date</t>
  </si>
  <si>
    <t>Remarks</t>
  </si>
  <si>
    <t>Last Updated</t>
  </si>
  <si>
    <t>High</t>
  </si>
  <si>
    <t>Appointment</t>
  </si>
  <si>
    <t>Pending</t>
  </si>
  <si>
    <t>Completed</t>
  </si>
  <si>
    <t>On-Hold</t>
  </si>
  <si>
    <t>Medium</t>
  </si>
  <si>
    <t>Marco</t>
  </si>
  <si>
    <t>Low</t>
  </si>
  <si>
    <t>David</t>
  </si>
  <si>
    <t>Put Aside</t>
  </si>
  <si>
    <t>CN</t>
  </si>
  <si>
    <t>SG</t>
  </si>
  <si>
    <t>IND</t>
  </si>
  <si>
    <t>Collaboration in beauty sector</t>
  </si>
  <si>
    <t>Amanda</t>
  </si>
  <si>
    <t>Beth</t>
  </si>
  <si>
    <t>Callum</t>
  </si>
  <si>
    <t>Ernest</t>
  </si>
  <si>
    <t>Fion</t>
  </si>
  <si>
    <t>Gerald</t>
  </si>
  <si>
    <t>Harold</t>
  </si>
  <si>
    <t>Jacob</t>
  </si>
  <si>
    <t>Kevin</t>
  </si>
  <si>
    <t>Lenny</t>
  </si>
  <si>
    <t>Monstro</t>
  </si>
  <si>
    <t>Nicholas</t>
  </si>
  <si>
    <t>Ola</t>
  </si>
  <si>
    <t>Paq</t>
  </si>
  <si>
    <t>Quinnie</t>
  </si>
  <si>
    <t>Richard</t>
  </si>
  <si>
    <t>Sally</t>
  </si>
  <si>
    <t>Tanny</t>
  </si>
  <si>
    <t>Urus</t>
  </si>
  <si>
    <t>Vivian</t>
  </si>
  <si>
    <t>Xenaz</t>
  </si>
  <si>
    <t>York</t>
  </si>
  <si>
    <t>Apex Global Solutions</t>
  </si>
  <si>
    <t>BrightPath Technologies</t>
  </si>
  <si>
    <t>Silvercrest Industries</t>
  </si>
  <si>
    <t>Quantum Edge Systems</t>
  </si>
  <si>
    <t>StellarWorks Manufacturing</t>
  </si>
  <si>
    <t>BlueWave Analytics</t>
  </si>
  <si>
    <t>Redwood Logistics</t>
  </si>
  <si>
    <t>SummitPoint Energy</t>
  </si>
  <si>
    <t>Ironclad Engineering</t>
  </si>
  <si>
    <t>PureFlow Water Systems</t>
  </si>
  <si>
    <t>Velocity Financial</t>
  </si>
  <si>
    <t>Urban Harvest Organics</t>
  </si>
  <si>
    <t>NovaLink Communications</t>
  </si>
  <si>
    <t>Greenleaf BioTech</t>
  </si>
  <si>
    <t>Titan Security Services</t>
  </si>
  <si>
    <t>Prism Data Solutions</t>
  </si>
  <si>
    <t>SkyForge Aeronautics</t>
  </si>
  <si>
    <t>CrystalPeak Mining</t>
  </si>
  <si>
    <t>Infinity Health Partners</t>
  </si>
  <si>
    <t>RapidRoute Transportation</t>
  </si>
  <si>
    <t>Beacon Tower Media</t>
  </si>
  <si>
    <t>Alpine Ridge Apparel</t>
  </si>
  <si>
    <t>Oceancrest Shipping</t>
  </si>
  <si>
    <t>TerraNova Agriculture</t>
  </si>
  <si>
    <t xml:space="preserve">Software Integration </t>
  </si>
  <si>
    <t>Website ChatBot</t>
  </si>
  <si>
    <t>Data Server</t>
  </si>
  <si>
    <t>APP</t>
  </si>
  <si>
    <t>Scheduling Meet-up date</t>
  </si>
  <si>
    <t>In tender process</t>
  </si>
  <si>
    <t>Discussion of project termination</t>
  </si>
  <si>
    <t>Expanding client size</t>
  </si>
  <si>
    <t>Focus on current project</t>
  </si>
  <si>
    <t>TBD with manager Louis</t>
  </si>
  <si>
    <t>Transitioning to education secotr</t>
  </si>
  <si>
    <t>Require better portfolio before engaging further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</si>
</sst>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theme="1"/>
      <name val="Aptos"/>
      <family val="2"/>
    </font>
    <font>
      <sz val="10"/>
      <color rgb="FF000000"/>
      <name val="Aptos"/>
      <family val="2"/>
    </font>
    <font>
      <sz val="14"/>
      <color theme="1"/>
      <name val="Aptos"/>
      <family val="2"/>
    </font>
    <font>
      <sz val="14"/>
      <color rgb="FF000000"/>
      <name val="Aptos"/>
      <family val="2"/>
    </font>
    <font>
      <sz val="14"/>
      <color theme="1"/>
      <name val="Calibri"/>
      <family val="2"/>
      <scheme val="minor"/>
    </font>
    <font>
      <sz val="14"/>
      <color theme="0"/>
      <name val="Aptos"/>
      <family val="2"/>
    </font>
    <font>
      <sz val="14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5" fillId="0" borderId="1" xfId="0" applyFont="1" applyBorder="1" applyAlignment="1">
      <alignment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center" vertical="center" wrapText="1"/>
    </xf>
    <xf numFmtId="0" fontId="7" fillId="2" borderId="2" xfId="0" applyFont="1" applyFill="1" applyBorder="1" applyAlignment="1">
      <alignment vertical="center" wrapText="1"/>
    </xf>
    <xf numFmtId="14" fontId="7" fillId="3" borderId="1" xfId="0" applyNumberFormat="1" applyFont="1" applyFill="1" applyBorder="1" applyAlignment="1">
      <alignment horizontal="center" vertical="center" wrapText="1"/>
    </xf>
    <xf numFmtId="14" fontId="5" fillId="3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9" formatCode="d/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family val="2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6" tint="0.59996337778862885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FF"/>
      <color rgb="FFFF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253999</xdr:colOff>
      <xdr:row>12</xdr:row>
      <xdr:rowOff>-1</xdr:rowOff>
    </xdr:from>
    <xdr:to>
      <xdr:col>9</xdr:col>
      <xdr:colOff>568036</xdr:colOff>
      <xdr:row>13</xdr:row>
      <xdr:rowOff>175489</xdr:rowOff>
    </xdr:to>
    <xdr:sp macro="[0]!reseller_update" textlink="">
      <xdr:nvSpPr>
        <xdr:cNvPr id="2" name="Rectangle 1">
          <a:extLst>
            <a:ext uri="{FF2B5EF4-FFF2-40B4-BE49-F238E27FC236}">
              <a16:creationId xmlns:a16="http://schemas.microsoft.com/office/drawing/2014/main" id="{44F27005-EA89-4684-8B4E-58BD14547D9D}"/>
            </a:ext>
          </a:extLst>
        </xdr:cNvPr>
        <xdr:cNvSpPr/>
      </xdr:nvSpPr>
      <xdr:spPr>
        <a:xfrm>
          <a:off x="20389272" y="2563090"/>
          <a:ext cx="914400" cy="360217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UPDATE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DD1B55-2F5E-4F01-A13A-37131160F68F}" name="meetup" displayName="meetup" ref="A1:H25" headerRowDxfId="19" dataDxfId="17" totalsRowDxfId="15" headerRowBorderDxfId="18" tableBorderDxfId="16" totalsRowBorderDxfId="14">
  <autoFilter ref="A1:H25" xr:uid="{13DD1B55-2F5E-4F01-A13A-37131160F68F}"/>
  <sortState xmlns:xlrd2="http://schemas.microsoft.com/office/spreadsheetml/2017/richdata2" ref="A2:H25">
    <sortCondition ref="C2:C25" customList="High,Medium,Low,Put Aside"/>
    <sortCondition ref="D2:D25" customList="Appointment,Pending,Completed,On-Hold"/>
  </sortState>
  <tableColumns count="8">
    <tableColumn id="1" xr3:uid="{3D847531-E1AD-4901-B6C0-E67B6DA622C9}" name="Partners" totalsRowLabel="Total" dataDxfId="13"/>
    <tableColumn id="2" xr3:uid="{BD8C191B-F85F-4CEA-919F-39EED1831A3B}" name="Focus Area" dataDxfId="12" totalsRowDxfId="11"/>
    <tableColumn id="3" xr3:uid="{758AD58A-8EA6-4D56-A344-DAA8F96C4351}" name="Priority" dataDxfId="10" totalsRowDxfId="9"/>
    <tableColumn id="4" xr3:uid="{E34E7648-7A35-472B-BFDC-07021135930A}" name="Status" dataDxfId="8" totalsRowDxfId="7"/>
    <tableColumn id="5" xr3:uid="{C7E5CAB4-510B-4B1A-8513-BCFB2CC0F3FC}" name="Contact Person" dataDxfId="6" totalsRowDxfId="5"/>
    <tableColumn id="6" xr3:uid="{7FDC2684-7C5D-457F-AE62-C0B645F103C4}" name="Last Met Date" dataDxfId="4" totalsRowDxfId="3"/>
    <tableColumn id="7" xr3:uid="{F623AFE9-CA48-4E29-825F-502B61CADEE3}" name="Remarks" dataDxfId="2" totalsRowDxfId="1"/>
    <tableColumn id="8" xr3:uid="{65DD17B1-F738-430F-AAAB-DA387588F11A}" name="Last Updated" totalsRowFunction="count" dataDxfId="0">
      <calculatedColumnFormula>IF(G2&lt;&gt;"",IF(H2&lt;&gt;"",H2,NOW()),"")</calculatedColumnFormula>
    </tableColumn>
  </tableColumns>
  <tableStyleInfo name="TableStyleLight13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FFBDD-769D-4232-A8BE-F11BD4D3AC95}">
  <sheetPr codeName="Sheet1"/>
  <dimension ref="A1:N25"/>
  <sheetViews>
    <sheetView tabSelected="1" zoomScale="55" zoomScaleNormal="55" workbookViewId="0">
      <selection activeCell="C19" sqref="C19"/>
    </sheetView>
  </sheetViews>
  <sheetFormatPr defaultColWidth="9.1796875" defaultRowHeight="14.5" x14ac:dyDescent="0.35"/>
  <cols>
    <col min="1" max="1" width="82.54296875" style="1" customWidth="1"/>
    <col min="2" max="2" width="45.54296875" style="2" customWidth="1"/>
    <col min="3" max="3" width="23" style="2" customWidth="1"/>
    <col min="4" max="4" width="27.453125" style="2" customWidth="1"/>
    <col min="5" max="5" width="26.54296875" style="2" customWidth="1"/>
    <col min="6" max="6" width="27.1796875" style="18" customWidth="1"/>
    <col min="7" max="7" width="41.7265625" style="4" customWidth="1"/>
    <col min="8" max="8" width="28.54296875" style="2" customWidth="1"/>
    <col min="9" max="13" width="8.54296875" style="2" customWidth="1"/>
    <col min="14" max="14" width="51.453125" style="1" customWidth="1"/>
    <col min="15" max="16384" width="9.1796875" style="1"/>
  </cols>
  <sheetData>
    <row r="1" spans="1:14" s="6" customFormat="1" ht="18.5" x14ac:dyDescent="0.35">
      <c r="A1" s="8" t="s">
        <v>0</v>
      </c>
      <c r="B1" s="9" t="s">
        <v>3</v>
      </c>
      <c r="C1" s="9" t="s">
        <v>4</v>
      </c>
      <c r="D1" s="9" t="s">
        <v>5</v>
      </c>
      <c r="E1" s="9" t="s">
        <v>6</v>
      </c>
      <c r="F1" s="9" t="s">
        <v>7</v>
      </c>
      <c r="G1" s="9" t="s">
        <v>8</v>
      </c>
      <c r="H1" s="10" t="s">
        <v>9</v>
      </c>
      <c r="I1" s="7"/>
      <c r="J1" s="7"/>
      <c r="K1" s="7"/>
      <c r="L1" s="7"/>
      <c r="M1" s="7"/>
      <c r="N1" s="7"/>
    </row>
    <row r="2" spans="1:14" ht="18.5" x14ac:dyDescent="0.45">
      <c r="A2" s="11" t="s">
        <v>46</v>
      </c>
      <c r="B2" s="12" t="s">
        <v>70</v>
      </c>
      <c r="C2" s="13" t="s">
        <v>10</v>
      </c>
      <c r="D2" s="13" t="s">
        <v>11</v>
      </c>
      <c r="E2" s="13" t="s">
        <v>24</v>
      </c>
      <c r="F2" s="17">
        <v>45803</v>
      </c>
      <c r="G2" s="5" t="s">
        <v>74</v>
      </c>
      <c r="H2" s="14">
        <f ca="1">IF(G2&lt;&gt;"",IF(H2&lt;&gt;"",H2,NOW()),"")</f>
        <v>45803.589976967596</v>
      </c>
      <c r="I2" s="3"/>
      <c r="J2" s="3"/>
      <c r="K2" s="3"/>
      <c r="L2" s="3"/>
      <c r="M2" s="3"/>
    </row>
    <row r="3" spans="1:14" ht="18.5" x14ac:dyDescent="0.45">
      <c r="A3" s="15" t="s">
        <v>47</v>
      </c>
      <c r="B3" s="13" t="s">
        <v>71</v>
      </c>
      <c r="C3" s="13" t="s">
        <v>10</v>
      </c>
      <c r="D3" s="13" t="s">
        <v>12</v>
      </c>
      <c r="E3" s="13" t="s">
        <v>25</v>
      </c>
      <c r="F3" s="17">
        <v>45804</v>
      </c>
      <c r="G3" s="5"/>
      <c r="H3" s="14" t="str">
        <f ca="1">IF(G3&lt;&gt;"",IF(H3&lt;&gt;"",H3,NOW()),"")</f>
        <v/>
      </c>
      <c r="I3" s="3"/>
      <c r="J3" s="3"/>
      <c r="K3" s="3"/>
      <c r="L3" s="3"/>
      <c r="M3" s="3"/>
    </row>
    <row r="4" spans="1:14" ht="18.5" x14ac:dyDescent="0.45">
      <c r="A4" s="15" t="s">
        <v>53</v>
      </c>
      <c r="B4" s="13" t="s">
        <v>70</v>
      </c>
      <c r="C4" s="13" t="s">
        <v>10</v>
      </c>
      <c r="D4" s="13" t="s">
        <v>12</v>
      </c>
      <c r="E4" s="13" t="s">
        <v>30</v>
      </c>
      <c r="F4" s="16">
        <v>45886</v>
      </c>
      <c r="G4" s="5" t="s">
        <v>79</v>
      </c>
      <c r="H4" s="14">
        <f ca="1">IF(G4&lt;&gt;"",IF(H4&lt;&gt;"",H4,NOW()),"")</f>
        <v>45814.529986226851</v>
      </c>
      <c r="I4" s="3"/>
      <c r="J4" s="3"/>
      <c r="K4" s="3"/>
      <c r="L4" s="3"/>
      <c r="M4" s="3"/>
    </row>
    <row r="5" spans="1:14" ht="18.5" x14ac:dyDescent="0.45">
      <c r="A5" s="11" t="s">
        <v>62</v>
      </c>
      <c r="B5" s="12" t="s">
        <v>73</v>
      </c>
      <c r="C5" s="13" t="s">
        <v>10</v>
      </c>
      <c r="D5" s="13" t="s">
        <v>12</v>
      </c>
      <c r="E5" s="13" t="s">
        <v>38</v>
      </c>
      <c r="F5" s="16">
        <v>45824</v>
      </c>
      <c r="G5" s="5"/>
      <c r="H5" s="14" t="str">
        <f ca="1">IF(G5&lt;&gt;"",IF(H5&lt;&gt;"",H5,NOW()),"")</f>
        <v/>
      </c>
      <c r="I5" s="3"/>
      <c r="J5" s="3"/>
      <c r="K5" s="3"/>
      <c r="L5" s="3"/>
      <c r="M5" s="3"/>
    </row>
    <row r="6" spans="1:14" ht="18.5" x14ac:dyDescent="0.45">
      <c r="A6" s="15" t="s">
        <v>48</v>
      </c>
      <c r="B6" s="13" t="s">
        <v>73</v>
      </c>
      <c r="C6" s="13" t="s">
        <v>10</v>
      </c>
      <c r="D6" s="13" t="s">
        <v>13</v>
      </c>
      <c r="E6" s="13" t="s">
        <v>26</v>
      </c>
      <c r="F6" s="16">
        <v>45799</v>
      </c>
      <c r="G6" s="5" t="s">
        <v>75</v>
      </c>
      <c r="H6" s="14">
        <f ca="1">IF(G6&lt;&gt;"",IF(H6&lt;&gt;"",H6,NOW()),"")</f>
        <v>45803.589414467591</v>
      </c>
      <c r="I6" s="3"/>
      <c r="J6" s="3"/>
      <c r="K6" s="3"/>
      <c r="L6" s="3"/>
      <c r="M6" s="3"/>
    </row>
    <row r="7" spans="1:14" ht="18.5" x14ac:dyDescent="0.45">
      <c r="A7" s="15" t="s">
        <v>49</v>
      </c>
      <c r="B7" s="13" t="s">
        <v>72</v>
      </c>
      <c r="C7" s="13" t="s">
        <v>10</v>
      </c>
      <c r="D7" s="13" t="s">
        <v>13</v>
      </c>
      <c r="E7" s="13" t="s">
        <v>18</v>
      </c>
      <c r="F7" s="16">
        <v>45798</v>
      </c>
      <c r="G7" s="5" t="s">
        <v>76</v>
      </c>
      <c r="H7" s="14">
        <f ca="1">IF(G7&lt;&gt;"",IF(H7&lt;&gt;"",H7,NOW()),"")</f>
        <v>45798.606165740741</v>
      </c>
      <c r="I7" s="3"/>
      <c r="J7" s="3"/>
      <c r="K7" s="3"/>
      <c r="L7" s="3"/>
      <c r="M7" s="3"/>
    </row>
    <row r="8" spans="1:14" ht="18.5" x14ac:dyDescent="0.45">
      <c r="A8" s="15" t="s">
        <v>50</v>
      </c>
      <c r="B8" s="13" t="s">
        <v>72</v>
      </c>
      <c r="C8" s="13" t="s">
        <v>10</v>
      </c>
      <c r="D8" s="13" t="s">
        <v>13</v>
      </c>
      <c r="E8" s="13" t="s">
        <v>27</v>
      </c>
      <c r="F8" s="16">
        <v>45883</v>
      </c>
      <c r="G8" s="5" t="s">
        <v>23</v>
      </c>
      <c r="H8" s="14" t="str">
        <f ca="1">IF(G8&lt;&gt;"",IF(H8&lt;&gt;"",H8,NOW()),"")</f>
        <v/>
      </c>
      <c r="I8" s="3"/>
      <c r="J8" s="3"/>
      <c r="K8" s="3"/>
      <c r="L8" s="3"/>
      <c r="M8" s="3"/>
    </row>
    <row r="9" spans="1:14" ht="18.5" x14ac:dyDescent="0.45">
      <c r="A9" s="15" t="s">
        <v>51</v>
      </c>
      <c r="B9" s="13" t="s">
        <v>73</v>
      </c>
      <c r="C9" s="13" t="s">
        <v>10</v>
      </c>
      <c r="D9" s="13" t="s">
        <v>14</v>
      </c>
      <c r="E9" s="13" t="s">
        <v>28</v>
      </c>
      <c r="F9" s="16">
        <v>45884</v>
      </c>
      <c r="G9" s="5" t="s">
        <v>77</v>
      </c>
      <c r="H9" s="14">
        <f ca="1">IF(G9&lt;&gt;"",IF(H9&lt;&gt;"",H9,NOW()),"")</f>
        <v>45824.491849652775</v>
      </c>
      <c r="I9" s="3"/>
      <c r="J9" s="3"/>
      <c r="K9" s="3"/>
      <c r="L9" s="3"/>
      <c r="M9" s="3"/>
    </row>
    <row r="10" spans="1:14" ht="18.5" x14ac:dyDescent="0.45">
      <c r="A10" s="15" t="s">
        <v>52</v>
      </c>
      <c r="B10" s="13" t="s">
        <v>73</v>
      </c>
      <c r="C10" s="13" t="s">
        <v>10</v>
      </c>
      <c r="D10" s="13" t="s">
        <v>14</v>
      </c>
      <c r="E10" s="13" t="s">
        <v>29</v>
      </c>
      <c r="F10" s="16">
        <v>45885</v>
      </c>
      <c r="G10" s="5" t="s">
        <v>78</v>
      </c>
      <c r="H10" s="14">
        <f ca="1">IF(G10&lt;&gt;"",IF(H10&lt;&gt;"",H10,NOW()),"")</f>
        <v>45814.529898842593</v>
      </c>
      <c r="I10" s="3"/>
      <c r="J10" s="3"/>
      <c r="K10" s="3"/>
      <c r="L10" s="3"/>
      <c r="M10" s="3"/>
    </row>
    <row r="11" spans="1:14" ht="18.5" x14ac:dyDescent="0.45">
      <c r="A11" s="11" t="s">
        <v>66</v>
      </c>
      <c r="B11" s="12" t="s">
        <v>71</v>
      </c>
      <c r="C11" s="13" t="s">
        <v>15</v>
      </c>
      <c r="D11" s="13" t="s">
        <v>11</v>
      </c>
      <c r="E11" s="13" t="s">
        <v>41</v>
      </c>
      <c r="F11" s="16">
        <v>45857</v>
      </c>
      <c r="G11" s="5"/>
      <c r="H11" s="14" t="str">
        <f ca="1">IF(G11&lt;&gt;"",IF(H11&lt;&gt;"",H11,NOW()),"")</f>
        <v/>
      </c>
      <c r="I11" s="3"/>
      <c r="J11" s="3"/>
      <c r="K11" s="3"/>
      <c r="L11" s="3"/>
      <c r="M11" s="3"/>
    </row>
    <row r="12" spans="1:14" ht="18.5" x14ac:dyDescent="0.45">
      <c r="A12" s="11" t="s">
        <v>65</v>
      </c>
      <c r="B12" s="12" t="s">
        <v>73</v>
      </c>
      <c r="C12" s="13" t="s">
        <v>15</v>
      </c>
      <c r="D12" s="13" t="s">
        <v>11</v>
      </c>
      <c r="E12" s="13" t="s">
        <v>42</v>
      </c>
      <c r="F12" s="16">
        <v>45828</v>
      </c>
      <c r="G12" s="5"/>
      <c r="H12" s="14" t="str">
        <f ca="1">IF(G12&lt;&gt;"",IF(H12&lt;&gt;"",H12,NOW()),"")</f>
        <v/>
      </c>
      <c r="I12" s="3"/>
      <c r="J12" s="3"/>
      <c r="K12" s="3"/>
      <c r="L12" s="3"/>
      <c r="M12" s="3"/>
    </row>
    <row r="13" spans="1:14" ht="18.5" x14ac:dyDescent="0.45">
      <c r="A13" s="15" t="s">
        <v>54</v>
      </c>
      <c r="B13" s="13" t="s">
        <v>70</v>
      </c>
      <c r="C13" s="13" t="s">
        <v>15</v>
      </c>
      <c r="D13" s="13" t="s">
        <v>12</v>
      </c>
      <c r="E13" s="13" t="s">
        <v>31</v>
      </c>
      <c r="F13" s="16">
        <v>45887</v>
      </c>
      <c r="G13" s="5"/>
      <c r="H13" s="14" t="str">
        <f ca="1">IF(G13&lt;&gt;"",IF(H13&lt;&gt;"",H13,NOW()),"")</f>
        <v/>
      </c>
      <c r="I13" s="3"/>
      <c r="J13" s="3"/>
      <c r="K13" s="3"/>
      <c r="L13" s="3"/>
      <c r="M13" s="3"/>
    </row>
    <row r="14" spans="1:14" ht="18.5" x14ac:dyDescent="0.45">
      <c r="A14" s="11" t="s">
        <v>67</v>
      </c>
      <c r="B14" s="12" t="s">
        <v>71</v>
      </c>
      <c r="C14" s="13" t="s">
        <v>15</v>
      </c>
      <c r="D14" s="13" t="s">
        <v>12</v>
      </c>
      <c r="E14" s="13" t="s">
        <v>43</v>
      </c>
      <c r="F14" s="16">
        <v>45709</v>
      </c>
      <c r="G14" s="5"/>
      <c r="H14" s="14" t="str">
        <f ca="1">IF(G14&lt;&gt;"",IF(H14&lt;&gt;"",H14,NOW()),"")</f>
        <v/>
      </c>
      <c r="I14" s="3"/>
      <c r="J14" s="3"/>
      <c r="K14" s="3"/>
      <c r="L14" s="3"/>
      <c r="M14" s="3"/>
    </row>
    <row r="15" spans="1:14" ht="37" x14ac:dyDescent="0.45">
      <c r="A15" s="11" t="s">
        <v>63</v>
      </c>
      <c r="B15" s="12" t="s">
        <v>72</v>
      </c>
      <c r="C15" s="13" t="s">
        <v>15</v>
      </c>
      <c r="D15" s="13" t="s">
        <v>14</v>
      </c>
      <c r="E15" s="13" t="s">
        <v>39</v>
      </c>
      <c r="F15" s="16">
        <v>45886</v>
      </c>
      <c r="G15" s="5"/>
      <c r="H15" s="14" t="str">
        <f ca="1">IF(G15&lt;&gt;"",IF(H15&lt;&gt;"",H15,NOW()),"")</f>
        <v/>
      </c>
    </row>
    <row r="16" spans="1:14" ht="18.5" x14ac:dyDescent="0.45">
      <c r="A16" s="11" t="s">
        <v>68</v>
      </c>
      <c r="B16" s="12" t="s">
        <v>70</v>
      </c>
      <c r="C16" s="13" t="s">
        <v>17</v>
      </c>
      <c r="D16" s="13" t="s">
        <v>11</v>
      </c>
      <c r="E16" s="13" t="s">
        <v>44</v>
      </c>
      <c r="F16" s="16">
        <v>45738</v>
      </c>
      <c r="G16" s="5"/>
      <c r="H16" s="14" t="str">
        <f ca="1">IF(G16&lt;&gt;"",IF(H16&lt;&gt;"",H16,NOW()),"")</f>
        <v/>
      </c>
    </row>
    <row r="17" spans="1:8" ht="18.5" x14ac:dyDescent="0.45">
      <c r="A17" s="15" t="s">
        <v>56</v>
      </c>
      <c r="B17" s="13" t="s">
        <v>72</v>
      </c>
      <c r="C17" s="13" t="s">
        <v>17</v>
      </c>
      <c r="D17" s="13" t="s">
        <v>12</v>
      </c>
      <c r="E17" s="13" t="s">
        <v>32</v>
      </c>
      <c r="F17" s="16">
        <v>45825</v>
      </c>
      <c r="G17" s="5"/>
      <c r="H17" s="14" t="str">
        <f ca="1">IF(G17&lt;&gt;"",IF(H17&lt;&gt;"",H17,NOW()),"")</f>
        <v/>
      </c>
    </row>
    <row r="18" spans="1:8" ht="18.5" x14ac:dyDescent="0.45">
      <c r="A18" s="11" t="s">
        <v>57</v>
      </c>
      <c r="B18" s="12" t="s">
        <v>70</v>
      </c>
      <c r="C18" s="13" t="s">
        <v>17</v>
      </c>
      <c r="D18" s="13" t="s">
        <v>12</v>
      </c>
      <c r="E18" s="13" t="s">
        <v>33</v>
      </c>
      <c r="F18" s="16">
        <v>45826</v>
      </c>
      <c r="G18" s="5"/>
      <c r="H18" s="14" t="str">
        <f ca="1">IF(G18&lt;&gt;"",IF(H18&lt;&gt;"",H18,NOW()),"")</f>
        <v/>
      </c>
    </row>
    <row r="19" spans="1:8" ht="18.5" x14ac:dyDescent="0.45">
      <c r="A19" s="15" t="s">
        <v>58</v>
      </c>
      <c r="B19" s="13" t="s">
        <v>71</v>
      </c>
      <c r="C19" s="13" t="s">
        <v>17</v>
      </c>
      <c r="D19" s="13" t="s">
        <v>12</v>
      </c>
      <c r="E19" s="13" t="s">
        <v>34</v>
      </c>
      <c r="F19" s="16">
        <v>45827</v>
      </c>
      <c r="G19" s="5"/>
      <c r="H19" s="14" t="str">
        <f ca="1">IF(G19&lt;&gt;"",IF(H19&lt;&gt;"",H19,NOW()),"")</f>
        <v/>
      </c>
    </row>
    <row r="20" spans="1:8" ht="18.5" x14ac:dyDescent="0.45">
      <c r="A20" s="11" t="s">
        <v>60</v>
      </c>
      <c r="B20" s="12" t="s">
        <v>71</v>
      </c>
      <c r="C20" s="13" t="s">
        <v>17</v>
      </c>
      <c r="D20" s="13" t="s">
        <v>12</v>
      </c>
      <c r="E20" s="13" t="s">
        <v>36</v>
      </c>
      <c r="F20" s="16">
        <v>45822</v>
      </c>
      <c r="G20" s="5"/>
      <c r="H20" s="14" t="str">
        <f ca="1">IF(G20&lt;&gt;"",IF(H20&lt;&gt;"",H20,NOW()),"")</f>
        <v/>
      </c>
    </row>
    <row r="21" spans="1:8" ht="18.5" x14ac:dyDescent="0.45">
      <c r="A21" s="15" t="s">
        <v>59</v>
      </c>
      <c r="B21" s="13" t="s">
        <v>71</v>
      </c>
      <c r="C21" s="13" t="s">
        <v>17</v>
      </c>
      <c r="D21" s="13" t="s">
        <v>13</v>
      </c>
      <c r="E21" s="13" t="s">
        <v>35</v>
      </c>
      <c r="F21" s="16">
        <v>45821</v>
      </c>
      <c r="G21" s="5" t="s">
        <v>81</v>
      </c>
      <c r="H21" s="14">
        <f ca="1">IF(G21&lt;&gt;"",IF(H21&lt;&gt;"",H21,NOW()),"")</f>
        <v>45824.492659027776</v>
      </c>
    </row>
    <row r="22" spans="1:8" ht="18.5" x14ac:dyDescent="0.45">
      <c r="A22" s="11" t="s">
        <v>61</v>
      </c>
      <c r="B22" s="12" t="s">
        <v>70</v>
      </c>
      <c r="C22" s="13" t="s">
        <v>19</v>
      </c>
      <c r="D22" s="13" t="s">
        <v>12</v>
      </c>
      <c r="E22" s="13" t="s">
        <v>37</v>
      </c>
      <c r="F22" s="16">
        <v>45823</v>
      </c>
      <c r="G22" s="5"/>
      <c r="H22" s="14" t="str">
        <f ca="1">IF(G22&lt;&gt;"",IF(H22&lt;&gt;"",H22,NOW()),"")</f>
        <v/>
      </c>
    </row>
    <row r="23" spans="1:8" ht="18.5" x14ac:dyDescent="0.45">
      <c r="A23" s="11" t="s">
        <v>64</v>
      </c>
      <c r="B23" s="12" t="s">
        <v>70</v>
      </c>
      <c r="C23" s="13" t="s">
        <v>19</v>
      </c>
      <c r="D23" s="13" t="s">
        <v>12</v>
      </c>
      <c r="E23" s="13" t="s">
        <v>40</v>
      </c>
      <c r="F23" s="16">
        <v>45706</v>
      </c>
      <c r="G23" s="5"/>
      <c r="H23" s="14" t="str">
        <f ca="1">IF(G23&lt;&gt;"",IF(H23&lt;&gt;"",H23,NOW()),"")</f>
        <v/>
      </c>
    </row>
    <row r="24" spans="1:8" ht="18.5" x14ac:dyDescent="0.45">
      <c r="A24" s="11" t="s">
        <v>69</v>
      </c>
      <c r="B24" s="12" t="s">
        <v>72</v>
      </c>
      <c r="C24" s="13" t="s">
        <v>19</v>
      </c>
      <c r="D24" s="13" t="s">
        <v>12</v>
      </c>
      <c r="E24" s="13" t="s">
        <v>45</v>
      </c>
      <c r="F24" s="16">
        <v>45680</v>
      </c>
      <c r="G24" s="5"/>
      <c r="H24" s="14" t="str">
        <f ca="1">IF(G24&lt;&gt;"",IF(H24&lt;&gt;"",H24,NOW()),"")</f>
        <v/>
      </c>
    </row>
    <row r="25" spans="1:8" ht="18.5" x14ac:dyDescent="0.45">
      <c r="A25" s="15" t="s">
        <v>55</v>
      </c>
      <c r="B25" s="13" t="s">
        <v>73</v>
      </c>
      <c r="C25" s="13" t="s">
        <v>19</v>
      </c>
      <c r="D25" s="13" t="s">
        <v>13</v>
      </c>
      <c r="E25" s="13" t="s">
        <v>16</v>
      </c>
      <c r="F25" s="16">
        <v>45824</v>
      </c>
      <c r="G25" s="5" t="s">
        <v>80</v>
      </c>
      <c r="H25" s="14">
        <f ca="1">IF(G25&lt;&gt;"",IF(H25&lt;&gt;"",H25,NOW()),"")</f>
        <v>45825.431912384258</v>
      </c>
    </row>
  </sheetData>
  <sortState xmlns:xlrd2="http://schemas.microsoft.com/office/spreadsheetml/2017/richdata2" ref="A2:H25">
    <sortCondition ref="C2:C25" customList="High,Medium,Low,Put Aside"/>
    <sortCondition ref="D2:D25" customList="Appointment,Pending,Completed,On-Hold"/>
  </sortState>
  <conditionalFormatting sqref="A2:F25">
    <cfRule type="cellIs" dxfId="30" priority="7" operator="equal">
      <formula>"Appointment"</formula>
    </cfRule>
  </conditionalFormatting>
  <conditionalFormatting sqref="A2:F25">
    <cfRule type="cellIs" dxfId="29" priority="4" operator="equal">
      <formula>"Completed"</formula>
    </cfRule>
    <cfRule type="cellIs" dxfId="28" priority="5" operator="equal">
      <formula>"Appointment"</formula>
    </cfRule>
    <cfRule type="cellIs" dxfId="27" priority="6" operator="equal">
      <formula>"On-Hold"</formula>
    </cfRule>
  </conditionalFormatting>
  <conditionalFormatting sqref="A2:F25">
    <cfRule type="cellIs" dxfId="26" priority="8" operator="equal">
      <formula>"Pending"</formula>
    </cfRule>
    <cfRule type="cellIs" dxfId="25" priority="9" operator="equal">
      <formula>"Low"</formula>
    </cfRule>
    <cfRule type="cellIs" dxfId="24" priority="10" operator="equal">
      <formula>"Put Aside"</formula>
    </cfRule>
    <cfRule type="cellIs" dxfId="23" priority="11" operator="equal">
      <formula>"High"</formula>
    </cfRule>
    <cfRule type="cellIs" dxfId="22" priority="12" operator="equal">
      <formula>"Medium"</formula>
    </cfRule>
    <cfRule type="cellIs" dxfId="21" priority="13" operator="equal">
      <formula>"Low"</formula>
    </cfRule>
    <cfRule type="cellIs" dxfId="20" priority="14" operator="equal">
      <formula>"High"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6196BBE-AC16-43EA-9FD3-E99E3520065D}">
          <x14:formula1>
            <xm:f>Data!$B$2:$B$14</xm:f>
          </x14:formula1>
          <xm:sqref>D2:D25</xm:sqref>
        </x14:dataValidation>
        <x14:dataValidation type="list" allowBlank="1" showInputMessage="1" showErrorMessage="1" xr:uid="{AF31C64F-2341-48E6-8D47-36E4734BFC05}">
          <x14:formula1>
            <xm:f>Data!$A$2:$A$15</xm:f>
          </x14:formula1>
          <xm:sqref>C2:C1048576</xm:sqref>
        </x14:dataValidation>
        <x14:dataValidation type="list" allowBlank="1" showInputMessage="1" showErrorMessage="1" xr:uid="{97C13A5B-8C9A-4FFE-AB58-A26A019ABE2B}">
          <x14:formula1>
            <xm:f>Data!$D$2:$D$19</xm:f>
          </x14:formula1>
          <xm:sqref>B2:B1048576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81CF9-A31D-480B-B9FF-6BE5061CE214}">
  <sheetPr codeName="Sheet2"/>
  <dimension ref="A1:D6"/>
  <sheetViews>
    <sheetView zoomScaleNormal="100" workbookViewId="0">
      <selection activeCell="D1" sqref="D1"/>
    </sheetView>
  </sheetViews>
  <sheetFormatPr defaultColWidth="8.81640625" defaultRowHeight="14.5" x14ac:dyDescent="0.35"/>
  <cols>
    <col min="1" max="1" width="8.54296875" bestFit="1" customWidth="1"/>
    <col min="2" max="2" width="11.81640625" bestFit="1" customWidth="1"/>
    <col min="4" max="4" width="18.54296875" bestFit="1" customWidth="1"/>
  </cols>
  <sheetData>
    <row r="1" spans="1:4" x14ac:dyDescent="0.35">
      <c r="A1" t="s">
        <v>4</v>
      </c>
      <c r="B1" t="s">
        <v>5</v>
      </c>
      <c r="C1" t="s">
        <v>1</v>
      </c>
      <c r="D1" t="s">
        <v>3</v>
      </c>
    </row>
    <row r="2" spans="1:4" x14ac:dyDescent="0.35">
      <c r="A2" t="s">
        <v>10</v>
      </c>
      <c r="B2" t="s">
        <v>12</v>
      </c>
      <c r="C2" t="s">
        <v>2</v>
      </c>
      <c r="D2" t="s">
        <v>70</v>
      </c>
    </row>
    <row r="3" spans="1:4" x14ac:dyDescent="0.35">
      <c r="A3" t="s">
        <v>15</v>
      </c>
      <c r="B3" t="s">
        <v>11</v>
      </c>
      <c r="C3" t="s">
        <v>20</v>
      </c>
      <c r="D3" t="s">
        <v>71</v>
      </c>
    </row>
    <row r="4" spans="1:4" x14ac:dyDescent="0.35">
      <c r="A4" t="s">
        <v>17</v>
      </c>
      <c r="B4" t="s">
        <v>14</v>
      </c>
      <c r="C4" t="s">
        <v>21</v>
      </c>
      <c r="D4" t="s">
        <v>72</v>
      </c>
    </row>
    <row r="5" spans="1:4" x14ac:dyDescent="0.35">
      <c r="A5" t="s">
        <v>19</v>
      </c>
      <c r="B5" t="s">
        <v>13</v>
      </c>
      <c r="C5" t="s">
        <v>22</v>
      </c>
      <c r="D5" t="s">
        <v>73</v>
      </c>
    </row>
    <row r="6" spans="1:4" x14ac:dyDescent="0.35">
      <c r="D6" t="s">
        <v>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36cd459-2ba7-4fb1-b7b2-92f56ba3ee0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66485BBBD1D4F9C3F5E7A797D7B77" ma:contentTypeVersion="10" ma:contentTypeDescription="Create a new document." ma:contentTypeScope="" ma:versionID="d7eeec9818d1a6b27c6ef6223ae1a735">
  <xsd:schema xmlns:xsd="http://www.w3.org/2001/XMLSchema" xmlns:xs="http://www.w3.org/2001/XMLSchema" xmlns:p="http://schemas.microsoft.com/office/2006/metadata/properties" xmlns:ns3="236cd459-2ba7-4fb1-b7b2-92f56ba3ee05" targetNamespace="http://schemas.microsoft.com/office/2006/metadata/properties" ma:root="true" ma:fieldsID="96e2b22f11596c45c5275e1d0227e576" ns3:_="">
    <xsd:import namespace="236cd459-2ba7-4fb1-b7b2-92f56ba3ee0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6cd459-2ba7-4fb1-b7b2-92f56ba3ee0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8C9234-733C-45EA-9D26-6C26AFE84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694181-5478-4CD4-9C28-74A9D8570C8D}">
  <ds:schemaRefs>
    <ds:schemaRef ds:uri="236cd459-2ba7-4fb1-b7b2-92f56ba3ee05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75A37EF-4CD8-4D3E-9AC6-32E1BFBE08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6cd459-2ba7-4fb1-b7b2-92f56ba3ee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Meet-up status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KeanToh Leong</dc:creator>
  <cp:keywords/>
  <dc:description/>
  <cp:lastModifiedBy>Louis Leong</cp:lastModifiedBy>
  <cp:revision/>
  <dcterms:created xsi:type="dcterms:W3CDTF">2015-06-05T18:17:20Z</dcterms:created>
  <dcterms:modified xsi:type="dcterms:W3CDTF">2025-08-15T04:14:08Z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0x010100FBB66485BBBD1D4F9C3F5E7A797D7B77</vt:lpwstr>
  </property>
</Properties>
</file>